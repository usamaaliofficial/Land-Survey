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ngel\Desktop\"/>
    </mc:Choice>
  </mc:AlternateContent>
  <bookViews>
    <workbookView xWindow="0" yWindow="0" windowWidth="24000" windowHeight="97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2" i="1" l="1"/>
  <c r="J12" i="1" l="1"/>
  <c r="M12" i="1" s="1"/>
  <c r="J13" i="1"/>
  <c r="L13" i="1" s="1"/>
  <c r="J14" i="1"/>
  <c r="J15" i="1"/>
  <c r="L15" i="1" s="1"/>
  <c r="J16" i="1"/>
  <c r="M16" i="1" s="1"/>
  <c r="J17" i="1"/>
  <c r="M17" i="1" s="1"/>
  <c r="J18" i="1"/>
  <c r="J19" i="1"/>
  <c r="J20" i="1"/>
  <c r="M20" i="1" s="1"/>
  <c r="J21" i="1"/>
  <c r="M21" i="1" s="1"/>
  <c r="J22" i="1"/>
  <c r="J23" i="1"/>
  <c r="J24" i="1"/>
  <c r="M24" i="1" s="1"/>
  <c r="J25" i="1"/>
  <c r="M25" i="1" s="1"/>
  <c r="J11" i="1"/>
  <c r="M11" i="1" s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11" i="1"/>
  <c r="M14" i="1"/>
  <c r="M15" i="1"/>
  <c r="M18" i="1"/>
  <c r="M19" i="1"/>
  <c r="M22" i="1"/>
  <c r="M23" i="1"/>
  <c r="L14" i="1"/>
  <c r="L18" i="1"/>
  <c r="L19" i="1"/>
  <c r="L22" i="1"/>
  <c r="L23" i="1"/>
  <c r="L24" i="1"/>
  <c r="L25" i="1"/>
  <c r="L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11" i="1"/>
  <c r="E10" i="1"/>
  <c r="F10" i="1"/>
  <c r="D10" i="1"/>
  <c r="B7" i="1"/>
  <c r="L21" i="1" l="1"/>
  <c r="L17" i="1"/>
  <c r="L16" i="1"/>
  <c r="M13" i="1"/>
  <c r="L20" i="1"/>
</calcChain>
</file>

<file path=xl/sharedStrings.xml><?xml version="1.0" encoding="utf-8"?>
<sst xmlns="http://schemas.openxmlformats.org/spreadsheetml/2006/main" count="20" uniqueCount="20">
  <si>
    <t>Initial Coordinates</t>
  </si>
  <si>
    <t>N</t>
  </si>
  <si>
    <t>E</t>
  </si>
  <si>
    <t>Elevation</t>
  </si>
  <si>
    <t>HI</t>
  </si>
  <si>
    <t>HR</t>
  </si>
  <si>
    <t>New EL</t>
  </si>
  <si>
    <t>Ver Angle</t>
  </si>
  <si>
    <t>degrees</t>
  </si>
  <si>
    <t>minutes</t>
  </si>
  <si>
    <t>hor angle</t>
  </si>
  <si>
    <t>ver angle(dec)</t>
  </si>
  <si>
    <t>Hor angle(dec)</t>
  </si>
  <si>
    <t>Ditance</t>
  </si>
  <si>
    <t>Northing</t>
  </si>
  <si>
    <t>Easting</t>
  </si>
  <si>
    <t>elevation</t>
  </si>
  <si>
    <t>seconds</t>
  </si>
  <si>
    <t>ver (rad)</t>
  </si>
  <si>
    <t>Hor (rad)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</si>
</sst>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1" xfId="0" applyFont="1" applyBorder="1"/>
    <xf numFmtId="164" fontId="0" fillId="0" borderId="1" xfId="0" applyNumberFormat="1" applyBorder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0" fillId="0" borderId="1" xfId="0" applyBorder="1"/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5"/>
  <sheetViews>
    <sheetView tabSelected="1" workbookViewId="0">
      <selection activeCell="M23" sqref="M23"/>
    </sheetView>
  </sheetViews>
  <sheetFormatPr defaultRowHeight="15" x14ac:dyDescent="0.25"/>
  <cols>
    <col min="1" max="1" width="10.140625" customWidth="1"/>
    <col min="2" max="2" width="11" customWidth="1"/>
    <col min="3" max="3" width="10.85546875" customWidth="1"/>
    <col min="7" max="7" width="14.7109375" customWidth="1"/>
    <col min="8" max="8" width="14.140625" customWidth="1"/>
    <col min="9" max="11" width="9.28515625" bestFit="1" customWidth="1"/>
    <col min="12" max="13" width="9.5703125" bestFit="1" customWidth="1"/>
    <col min="14" max="14" width="9.28515625" bestFit="1" customWidth="1"/>
  </cols>
  <sheetData>
    <row r="1" spans="1:20" x14ac:dyDescent="0.25">
      <c r="A1" t="s">
        <v>0</v>
      </c>
    </row>
    <row r="2" spans="1:20" x14ac:dyDescent="0.25">
      <c r="A2" t="s">
        <v>1</v>
      </c>
      <c r="B2">
        <v>1000</v>
      </c>
    </row>
    <row r="3" spans="1:20" x14ac:dyDescent="0.25">
      <c r="A3" t="s">
        <v>2</v>
      </c>
      <c r="B3">
        <v>1000</v>
      </c>
    </row>
    <row r="4" spans="1:20" x14ac:dyDescent="0.25">
      <c r="A4" t="s">
        <v>3</v>
      </c>
      <c r="B4">
        <v>98.12</v>
      </c>
    </row>
    <row r="5" spans="1:20" x14ac:dyDescent="0.25">
      <c r="A5" t="s">
        <v>4</v>
      </c>
      <c r="B5">
        <v>5</v>
      </c>
    </row>
    <row r="6" spans="1:20" x14ac:dyDescent="0.25">
      <c r="A6" t="s">
        <v>5</v>
      </c>
      <c r="B6">
        <v>5.5</v>
      </c>
    </row>
    <row r="7" spans="1:20" x14ac:dyDescent="0.25">
      <c r="A7" t="s">
        <v>6</v>
      </c>
      <c r="B7">
        <f>B4+B5-B6</f>
        <v>97.62</v>
      </c>
    </row>
    <row r="9" spans="1:20" x14ac:dyDescent="0.25">
      <c r="A9" s="10" t="s">
        <v>7</v>
      </c>
      <c r="B9" s="11"/>
      <c r="C9" s="12"/>
      <c r="D9" s="10" t="s">
        <v>10</v>
      </c>
      <c r="E9" s="11"/>
      <c r="F9" s="12"/>
      <c r="G9" s="1"/>
      <c r="H9" s="1"/>
      <c r="I9" s="1"/>
      <c r="J9" s="1"/>
      <c r="K9" s="1"/>
      <c r="L9" s="1"/>
      <c r="M9" s="1"/>
      <c r="N9" s="1"/>
    </row>
    <row r="10" spans="1:20" x14ac:dyDescent="0.25">
      <c r="A10" s="2" t="s">
        <v>8</v>
      </c>
      <c r="B10" s="4" t="s">
        <v>9</v>
      </c>
      <c r="C10" s="3" t="s">
        <v>17</v>
      </c>
      <c r="D10" s="2" t="str">
        <f>A10</f>
        <v>degrees</v>
      </c>
      <c r="E10" s="4" t="str">
        <f t="shared" ref="E10:F10" si="0">B10</f>
        <v>minutes</v>
      </c>
      <c r="F10" s="3" t="str">
        <f t="shared" si="0"/>
        <v>seconds</v>
      </c>
      <c r="G10" s="4" t="s">
        <v>11</v>
      </c>
      <c r="H10" s="4" t="s">
        <v>12</v>
      </c>
      <c r="I10" s="4" t="s">
        <v>18</v>
      </c>
      <c r="J10" s="4" t="s">
        <v>19</v>
      </c>
      <c r="K10" s="4" t="s">
        <v>13</v>
      </c>
      <c r="L10" s="4" t="s">
        <v>14</v>
      </c>
      <c r="M10" s="4" t="s">
        <v>15</v>
      </c>
      <c r="N10" s="4" t="s">
        <v>16</v>
      </c>
    </row>
    <row r="11" spans="1:20" x14ac:dyDescent="0.25">
      <c r="A11" s="6">
        <v>90</v>
      </c>
      <c r="B11" s="14">
        <v>49</v>
      </c>
      <c r="C11" s="7">
        <v>5</v>
      </c>
      <c r="D11" s="6">
        <v>7</v>
      </c>
      <c r="E11" s="14">
        <v>50</v>
      </c>
      <c r="F11" s="7">
        <v>58</v>
      </c>
      <c r="G11" s="5">
        <f>A11+B11/60+C11/3600</f>
        <v>90.818055555555546</v>
      </c>
      <c r="H11" s="5">
        <f>D11+$B$5+E11/60+F11/3600</f>
        <v>12.849444444444446</v>
      </c>
      <c r="I11" s="5">
        <f>G11/180*PI()</f>
        <v>1.585074089703572</v>
      </c>
      <c r="J11" s="5">
        <f>H11/180*PI()</f>
        <v>0.22426511260764917</v>
      </c>
      <c r="K11" s="5">
        <v>60.36</v>
      </c>
      <c r="L11" s="5">
        <f>$B$2+K11*COS(J11)</f>
        <v>1058.8484529216869</v>
      </c>
      <c r="M11" s="5">
        <f>$B$3+K11*SIN(J11)</f>
        <v>1013.4234566607856</v>
      </c>
      <c r="N11" s="5">
        <f>$B$7+K11*COS(I11)</f>
        <v>96.758223511033236</v>
      </c>
    </row>
    <row r="12" spans="1:20" x14ac:dyDescent="0.25">
      <c r="A12" s="6">
        <v>89</v>
      </c>
      <c r="B12" s="14">
        <v>52</v>
      </c>
      <c r="C12" s="7">
        <v>39</v>
      </c>
      <c r="D12" s="6">
        <v>80</v>
      </c>
      <c r="E12" s="14">
        <v>8</v>
      </c>
      <c r="F12" s="7">
        <v>40</v>
      </c>
      <c r="G12" s="5">
        <f t="shared" ref="G12:G25" si="1">A12+B12/60+C12/3600</f>
        <v>89.877499999999998</v>
      </c>
      <c r="H12" s="5">
        <f t="shared" ref="H12:H25" si="2">D12+$B$5+E12/60+F12/3600</f>
        <v>85.144444444444446</v>
      </c>
      <c r="I12" s="5">
        <f t="shared" ref="I12:I25" si="3">G12/180*PI()</f>
        <v>1.5686582984612034</v>
      </c>
      <c r="J12" s="5">
        <f t="shared" ref="J12:J25" si="4">H12/180*PI()</f>
        <v>1.4860508953369498</v>
      </c>
      <c r="K12" s="5">
        <v>145.78</v>
      </c>
      <c r="L12" s="5">
        <f>$B$2+K12*COS(J12)</f>
        <v>1012.3394067790454</v>
      </c>
      <c r="M12" s="5">
        <f t="shared" ref="M12:M25" si="5">$B$3+K12*SIN(J12)</f>
        <v>1145.2568326803985</v>
      </c>
      <c r="N12" s="5">
        <f t="shared" ref="N12:N25" si="6">$B$7+K12*COS(I12)</f>
        <v>97.931681533027714</v>
      </c>
    </row>
    <row r="13" spans="1:20" x14ac:dyDescent="0.25">
      <c r="A13" s="6">
        <v>90</v>
      </c>
      <c r="B13" s="14">
        <v>0</v>
      </c>
      <c r="C13" s="7">
        <v>17</v>
      </c>
      <c r="D13" s="6">
        <v>63</v>
      </c>
      <c r="E13" s="14">
        <v>46</v>
      </c>
      <c r="F13" s="7">
        <v>34</v>
      </c>
      <c r="G13" s="5">
        <f t="shared" si="1"/>
        <v>90.004722222222227</v>
      </c>
      <c r="H13" s="5">
        <f t="shared" si="2"/>
        <v>68.776111111111106</v>
      </c>
      <c r="I13" s="5">
        <f t="shared" si="3"/>
        <v>1.5708787451206854</v>
      </c>
      <c r="J13" s="5">
        <f t="shared" si="4"/>
        <v>1.2003695856063445</v>
      </c>
      <c r="K13" s="5">
        <v>167.71</v>
      </c>
      <c r="L13" s="5">
        <f t="shared" ref="L12:L25" si="7">$B$2+K13*COS(J13)</f>
        <v>1060.7132440871596</v>
      </c>
      <c r="M13" s="5">
        <f t="shared" si="5"/>
        <v>1156.3347245253369</v>
      </c>
      <c r="N13" s="5">
        <f t="shared" si="6"/>
        <v>97.606177622597627</v>
      </c>
      <c r="T13" s="13"/>
    </row>
    <row r="14" spans="1:20" x14ac:dyDescent="0.25">
      <c r="A14" s="6">
        <v>89</v>
      </c>
      <c r="B14" s="14">
        <v>37</v>
      </c>
      <c r="C14" s="7">
        <v>56</v>
      </c>
      <c r="D14" s="6">
        <v>52</v>
      </c>
      <c r="E14" s="14">
        <v>4</v>
      </c>
      <c r="F14" s="7">
        <v>51</v>
      </c>
      <c r="G14" s="5">
        <f t="shared" si="1"/>
        <v>89.632222222222211</v>
      </c>
      <c r="H14" s="5">
        <f t="shared" si="2"/>
        <v>57.080833333333338</v>
      </c>
      <c r="I14" s="5">
        <f t="shared" si="3"/>
        <v>1.564377393657006</v>
      </c>
      <c r="J14" s="5">
        <f t="shared" si="4"/>
        <v>0.99624848144879674</v>
      </c>
      <c r="K14" s="5">
        <v>252.09</v>
      </c>
      <c r="L14" s="5">
        <f t="shared" si="7"/>
        <v>1136.9996441568558</v>
      </c>
      <c r="M14" s="5">
        <f t="shared" si="5"/>
        <v>1211.6139541733835</v>
      </c>
      <c r="N14" s="5">
        <f t="shared" si="6"/>
        <v>99.238137742736058</v>
      </c>
    </row>
    <row r="15" spans="1:20" x14ac:dyDescent="0.25">
      <c r="A15" s="6">
        <v>90</v>
      </c>
      <c r="B15" s="14">
        <v>9</v>
      </c>
      <c r="C15" s="7">
        <v>15</v>
      </c>
      <c r="D15" s="6">
        <v>48</v>
      </c>
      <c r="E15" s="14">
        <v>44</v>
      </c>
      <c r="F15" s="7">
        <v>59</v>
      </c>
      <c r="G15" s="5">
        <f t="shared" si="1"/>
        <v>90.154166666666669</v>
      </c>
      <c r="H15" s="5">
        <f t="shared" si="2"/>
        <v>53.749722222222225</v>
      </c>
      <c r="I15" s="5">
        <f t="shared" si="3"/>
        <v>1.5734870427250547</v>
      </c>
      <c r="J15" s="5">
        <f t="shared" si="4"/>
        <v>0.93810962481014115</v>
      </c>
      <c r="K15" s="5">
        <v>161.935</v>
      </c>
      <c r="L15" s="5">
        <f t="shared" si="7"/>
        <v>1095.7543610326084</v>
      </c>
      <c r="M15" s="5">
        <f t="shared" si="5"/>
        <v>1130.5911427633471</v>
      </c>
      <c r="N15" s="5">
        <f t="shared" si="6"/>
        <v>97.184279441616312</v>
      </c>
    </row>
    <row r="16" spans="1:20" x14ac:dyDescent="0.25">
      <c r="A16" s="6">
        <v>89</v>
      </c>
      <c r="B16" s="14">
        <v>40</v>
      </c>
      <c r="C16" s="7">
        <v>49</v>
      </c>
      <c r="D16" s="6">
        <v>35</v>
      </c>
      <c r="E16" s="14">
        <v>21</v>
      </c>
      <c r="F16" s="7">
        <v>53</v>
      </c>
      <c r="G16" s="5">
        <f t="shared" si="1"/>
        <v>89.680277777777789</v>
      </c>
      <c r="H16" s="5">
        <f t="shared" si="2"/>
        <v>40.364722222222227</v>
      </c>
      <c r="I16" s="5">
        <f t="shared" si="3"/>
        <v>1.5652161213253259</v>
      </c>
      <c r="J16" s="5">
        <f t="shared" si="4"/>
        <v>0.70449730443070013</v>
      </c>
      <c r="K16" s="5">
        <v>186.88499999999999</v>
      </c>
      <c r="L16" s="5">
        <f t="shared" si="7"/>
        <v>1142.3946372200051</v>
      </c>
      <c r="M16" s="5">
        <f t="shared" si="5"/>
        <v>1121.036236375654</v>
      </c>
      <c r="N16" s="5">
        <f t="shared" si="6"/>
        <v>98.662851286990033</v>
      </c>
    </row>
    <row r="17" spans="1:14" x14ac:dyDescent="0.25">
      <c r="A17" s="6">
        <v>89</v>
      </c>
      <c r="B17" s="14">
        <v>58</v>
      </c>
      <c r="C17" s="7">
        <v>34</v>
      </c>
      <c r="D17" s="6">
        <v>30</v>
      </c>
      <c r="E17" s="14">
        <v>18</v>
      </c>
      <c r="F17" s="7">
        <v>52</v>
      </c>
      <c r="G17" s="5">
        <f t="shared" si="1"/>
        <v>89.976111111111109</v>
      </c>
      <c r="H17" s="5">
        <f t="shared" si="2"/>
        <v>35.31444444444444</v>
      </c>
      <c r="I17" s="5">
        <f t="shared" si="3"/>
        <v>1.5703793870291423</v>
      </c>
      <c r="J17" s="5">
        <f t="shared" si="4"/>
        <v>0.61635332906817519</v>
      </c>
      <c r="K17" s="5">
        <v>134.30000000000001</v>
      </c>
      <c r="L17" s="5">
        <f t="shared" si="7"/>
        <v>1109.5877100802695</v>
      </c>
      <c r="M17" s="5">
        <f t="shared" si="5"/>
        <v>1077.6339088244486</v>
      </c>
      <c r="N17" s="5">
        <f t="shared" si="6"/>
        <v>97.675995008918463</v>
      </c>
    </row>
    <row r="18" spans="1:14" x14ac:dyDescent="0.25">
      <c r="A18" s="6">
        <v>89</v>
      </c>
      <c r="B18" s="14">
        <v>45</v>
      </c>
      <c r="C18" s="7">
        <v>24</v>
      </c>
      <c r="D18" s="6">
        <v>40</v>
      </c>
      <c r="E18" s="14">
        <v>5</v>
      </c>
      <c r="F18" s="7">
        <v>7</v>
      </c>
      <c r="G18" s="5">
        <f t="shared" si="1"/>
        <v>89.756666666666661</v>
      </c>
      <c r="H18" s="5">
        <f t="shared" si="2"/>
        <v>45.085277777777783</v>
      </c>
      <c r="I18" s="5">
        <f t="shared" si="3"/>
        <v>1.566549358948377</v>
      </c>
      <c r="J18" s="5">
        <f t="shared" si="4"/>
        <v>0.78688654139845471</v>
      </c>
      <c r="K18" s="5">
        <v>214.07499999999999</v>
      </c>
      <c r="L18" s="5">
        <f t="shared" si="7"/>
        <v>1151.1484150396388</v>
      </c>
      <c r="M18" s="5">
        <f t="shared" si="5"/>
        <v>1151.5990179915593</v>
      </c>
      <c r="N18" s="5">
        <f t="shared" si="6"/>
        <v>98.529166908670703</v>
      </c>
    </row>
    <row r="19" spans="1:14" x14ac:dyDescent="0.25">
      <c r="A19" s="6">
        <v>89</v>
      </c>
      <c r="B19" s="14">
        <v>46</v>
      </c>
      <c r="C19" s="7">
        <v>38</v>
      </c>
      <c r="D19" s="6">
        <v>16</v>
      </c>
      <c r="E19" s="14">
        <v>3</v>
      </c>
      <c r="F19" s="7">
        <v>42</v>
      </c>
      <c r="G19" s="5">
        <f t="shared" si="1"/>
        <v>89.777222222222221</v>
      </c>
      <c r="H19" s="5">
        <f t="shared" si="2"/>
        <v>21.061666666666667</v>
      </c>
      <c r="I19" s="5">
        <f t="shared" si="3"/>
        <v>1.5669081210723981</v>
      </c>
      <c r="J19" s="5">
        <f t="shared" si="4"/>
        <v>0.36759542929087236</v>
      </c>
      <c r="K19" s="5">
        <v>170.86</v>
      </c>
      <c r="L19" s="5">
        <f t="shared" si="7"/>
        <v>1159.4455574760909</v>
      </c>
      <c r="M19" s="5">
        <f t="shared" si="5"/>
        <v>1061.4023924708033</v>
      </c>
      <c r="N19" s="5">
        <f t="shared" si="6"/>
        <v>98.284337155819046</v>
      </c>
    </row>
    <row r="20" spans="1:14" x14ac:dyDescent="0.25">
      <c r="A20" s="6">
        <v>90</v>
      </c>
      <c r="B20" s="14">
        <v>4</v>
      </c>
      <c r="C20" s="7">
        <v>48</v>
      </c>
      <c r="D20" s="6">
        <v>3</v>
      </c>
      <c r="E20" s="14">
        <v>38</v>
      </c>
      <c r="F20" s="7">
        <v>15</v>
      </c>
      <c r="G20" s="5">
        <f t="shared" si="1"/>
        <v>90.08</v>
      </c>
      <c r="H20" s="5">
        <f t="shared" si="2"/>
        <v>8.6374999999999993</v>
      </c>
      <c r="I20" s="5">
        <f t="shared" si="3"/>
        <v>1.5721925901964922</v>
      </c>
      <c r="J20" s="5">
        <f t="shared" si="4"/>
        <v>0.15075281414101019</v>
      </c>
      <c r="K20" s="5">
        <v>137.18</v>
      </c>
      <c r="L20" s="5">
        <f t="shared" si="7"/>
        <v>1135.6241454053311</v>
      </c>
      <c r="M20" s="5">
        <f t="shared" si="5"/>
        <v>1020.6020286154927</v>
      </c>
      <c r="N20" s="5">
        <f t="shared" si="6"/>
        <v>97.428460648805114</v>
      </c>
    </row>
    <row r="21" spans="1:14" x14ac:dyDescent="0.25">
      <c r="A21" s="6">
        <v>90</v>
      </c>
      <c r="B21" s="14">
        <v>45</v>
      </c>
      <c r="C21" s="7">
        <v>23</v>
      </c>
      <c r="D21" s="6">
        <v>16</v>
      </c>
      <c r="E21" s="14">
        <v>27</v>
      </c>
      <c r="F21" s="7">
        <v>10</v>
      </c>
      <c r="G21" s="5">
        <f t="shared" si="1"/>
        <v>90.756388888888893</v>
      </c>
      <c r="H21" s="5">
        <f t="shared" si="2"/>
        <v>21.452777777777776</v>
      </c>
      <c r="I21" s="5">
        <f t="shared" si="3"/>
        <v>1.5839978033315092</v>
      </c>
      <c r="J21" s="5">
        <f t="shared" si="4"/>
        <v>0.37442160592089463</v>
      </c>
      <c r="K21" s="5">
        <v>103.98</v>
      </c>
      <c r="L21" s="5">
        <f t="shared" si="7"/>
        <v>1096.7761944898243</v>
      </c>
      <c r="M21" s="5">
        <f t="shared" si="5"/>
        <v>1038.0290491607102</v>
      </c>
      <c r="N21" s="5">
        <f t="shared" si="6"/>
        <v>96.247350341198086</v>
      </c>
    </row>
    <row r="22" spans="1:14" x14ac:dyDescent="0.25">
      <c r="A22" s="6">
        <v>90</v>
      </c>
      <c r="B22" s="14">
        <v>10</v>
      </c>
      <c r="C22" s="7">
        <v>50</v>
      </c>
      <c r="D22" s="6">
        <v>22</v>
      </c>
      <c r="E22" s="14">
        <v>14</v>
      </c>
      <c r="F22" s="7">
        <v>52</v>
      </c>
      <c r="G22" s="5">
        <f t="shared" si="1"/>
        <v>90.180555555555557</v>
      </c>
      <c r="H22" s="5">
        <f t="shared" si="2"/>
        <v>27.247777777777777</v>
      </c>
      <c r="I22" s="5">
        <f t="shared" si="3"/>
        <v>1.5739476157221086</v>
      </c>
      <c r="J22" s="5">
        <f t="shared" si="4"/>
        <v>0.47556343607396601</v>
      </c>
      <c r="K22" s="5">
        <v>158.57</v>
      </c>
      <c r="L22" s="5">
        <f t="shared" si="7"/>
        <v>1140.9742640137351</v>
      </c>
      <c r="M22" s="5">
        <f t="shared" si="5"/>
        <v>1072.5995990745521</v>
      </c>
      <c r="N22" s="5">
        <f t="shared" si="6"/>
        <v>97.120300941866688</v>
      </c>
    </row>
    <row r="23" spans="1:14" x14ac:dyDescent="0.25">
      <c r="A23" s="6">
        <v>90</v>
      </c>
      <c r="B23" s="14">
        <v>15</v>
      </c>
      <c r="C23" s="7">
        <v>57</v>
      </c>
      <c r="D23" s="6">
        <v>37</v>
      </c>
      <c r="E23" s="14">
        <v>24</v>
      </c>
      <c r="F23" s="7">
        <v>46</v>
      </c>
      <c r="G23" s="5">
        <f t="shared" si="1"/>
        <v>90.265833333333333</v>
      </c>
      <c r="H23" s="5">
        <f t="shared" si="2"/>
        <v>42.412777777777777</v>
      </c>
      <c r="I23" s="5">
        <f t="shared" si="3"/>
        <v>1.5754359937231148</v>
      </c>
      <c r="J23" s="5">
        <f t="shared" si="4"/>
        <v>0.74024261713890604</v>
      </c>
      <c r="K23" s="5">
        <v>159.72499999999999</v>
      </c>
      <c r="L23" s="5">
        <f t="shared" si="7"/>
        <v>1117.9257570515033</v>
      </c>
      <c r="M23" s="5">
        <f t="shared" si="5"/>
        <v>1107.7292506649414</v>
      </c>
      <c r="N23" s="5">
        <f t="shared" si="6"/>
        <v>96.878931858665396</v>
      </c>
    </row>
    <row r="24" spans="1:14" x14ac:dyDescent="0.25">
      <c r="A24" s="6">
        <v>89</v>
      </c>
      <c r="B24" s="14">
        <v>59</v>
      </c>
      <c r="C24" s="7">
        <v>29</v>
      </c>
      <c r="D24" s="6">
        <v>45</v>
      </c>
      <c r="E24" s="14">
        <v>5</v>
      </c>
      <c r="F24" s="7">
        <v>6</v>
      </c>
      <c r="G24" s="5">
        <f t="shared" si="1"/>
        <v>89.991388888888892</v>
      </c>
      <c r="H24" s="5">
        <f t="shared" si="2"/>
        <v>50.085000000000001</v>
      </c>
      <c r="I24" s="5">
        <f t="shared" si="3"/>
        <v>1.5706460345537527</v>
      </c>
      <c r="J24" s="5">
        <f t="shared" si="4"/>
        <v>0.87414815586135997</v>
      </c>
      <c r="K24" s="5">
        <v>205.70500000000001</v>
      </c>
      <c r="L24" s="5">
        <f t="shared" si="7"/>
        <v>1131.9907064244535</v>
      </c>
      <c r="M24" s="5">
        <f t="shared" si="5"/>
        <v>1157.7751578752932</v>
      </c>
      <c r="N24" s="5">
        <f t="shared" si="6"/>
        <v>97.650915865348125</v>
      </c>
    </row>
    <row r="25" spans="1:14" x14ac:dyDescent="0.25">
      <c r="A25" s="8">
        <v>90</v>
      </c>
      <c r="B25" s="15">
        <v>15</v>
      </c>
      <c r="C25" s="9">
        <v>58</v>
      </c>
      <c r="D25" s="8">
        <v>57</v>
      </c>
      <c r="E25" s="15">
        <v>10</v>
      </c>
      <c r="F25" s="9">
        <v>12</v>
      </c>
      <c r="G25" s="5">
        <f t="shared" si="1"/>
        <v>90.266111111111115</v>
      </c>
      <c r="H25" s="5">
        <f t="shared" si="2"/>
        <v>62.169999999999995</v>
      </c>
      <c r="I25" s="5">
        <f t="shared" si="3"/>
        <v>1.5754408418599259</v>
      </c>
      <c r="J25" s="5">
        <f t="shared" si="4"/>
        <v>1.0850711959648744</v>
      </c>
      <c r="K25" s="5">
        <v>210.215</v>
      </c>
      <c r="L25" s="5">
        <f t="shared" si="7"/>
        <v>1098.1388184941386</v>
      </c>
      <c r="M25" s="5">
        <f t="shared" si="5"/>
        <v>1185.900829824868</v>
      </c>
      <c r="N25" s="5">
        <f t="shared" si="6"/>
        <v>96.643656775814961</v>
      </c>
    </row>
  </sheetData>
  <mergeCells count="2">
    <mergeCell ref="A9:C9"/>
    <mergeCell ref="D9:F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</dc:creator>
  <cp:lastModifiedBy>Angel</cp:lastModifiedBy>
  <dcterms:created xsi:type="dcterms:W3CDTF">2014-07-08T20:58:07Z</dcterms:created>
  <dcterms:modified xsi:type="dcterms:W3CDTF">2014-07-10T00:50:11Z</dcterms:modified>
</cp:coreProperties>
</file>